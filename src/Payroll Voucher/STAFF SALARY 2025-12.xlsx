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ayak\Videos\Captures\New App\"/>
    </mc:Choice>
  </mc:AlternateContent>
  <xr:revisionPtr revIDLastSave="0" documentId="13_ncr:1_{29FA139D-D61C-46C0-9FAB-7C4EEF49B7B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ALARY" sheetId="5" r:id="rId1"/>
    <sheet name="PAYE" sheetId="3" r:id="rId2"/>
    <sheet name="ZSSF" sheetId="4" r:id="rId3"/>
    <sheet name="ZHSF" sheetId="7" r:id="rId4"/>
  </sheets>
  <externalReferences>
    <externalReference r:id="rId5"/>
  </externalReferences>
  <definedNames>
    <definedName name="_xlnm._FilterDatabase" localSheetId="1">PAYE!$A$5:$J$10</definedName>
    <definedName name="_xlnm._FilterDatabase" localSheetId="0" hidden="1">SALARY!$A$3:$AC$9</definedName>
    <definedName name="_xlnm._FilterDatabase" localSheetId="2" hidden="1">ZSSF!$A$7:$H$12</definedName>
    <definedName name="dd_empodesc">[1]!EmplomentType[EMPLOYMENTTYPE]</definedName>
    <definedName name="dd_resdesc">[1]!ResidentialStatus[RESIDENTIALSTATUS]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3" l="1"/>
  <c r="I7" i="3"/>
  <c r="I6" i="3"/>
  <c r="E9" i="5" l="1"/>
  <c r="Y9" i="5" l="1"/>
  <c r="D9" i="7" l="1"/>
  <c r="D12" i="4"/>
  <c r="X7" i="5"/>
  <c r="Q8" i="3" s="1"/>
  <c r="X6" i="5"/>
  <c r="Q7" i="3" s="1"/>
  <c r="X5" i="5"/>
  <c r="Q6" i="3" s="1"/>
  <c r="U7" i="5"/>
  <c r="P8" i="3" s="1"/>
  <c r="U6" i="5"/>
  <c r="P7" i="3" s="1"/>
  <c r="U5" i="5"/>
  <c r="P6" i="3" s="1"/>
  <c r="S7" i="5"/>
  <c r="S6" i="5"/>
  <c r="S5" i="5"/>
  <c r="Q7" i="5"/>
  <c r="Q6" i="5"/>
  <c r="Q5" i="5"/>
  <c r="O7" i="5"/>
  <c r="O6" i="5"/>
  <c r="O5" i="5"/>
  <c r="M7" i="5"/>
  <c r="M6" i="5"/>
  <c r="M5" i="5"/>
  <c r="P9" i="3" l="1"/>
  <c r="Q9" i="3"/>
  <c r="K8" i="3"/>
  <c r="K6" i="3"/>
  <c r="K7" i="3"/>
  <c r="T5" i="5"/>
  <c r="T6" i="5"/>
  <c r="T7" i="5"/>
  <c r="V5" i="5" l="1"/>
  <c r="E6" i="3"/>
  <c r="J6" i="3" s="1"/>
  <c r="V7" i="5"/>
  <c r="E8" i="3"/>
  <c r="J8" i="3" s="1"/>
  <c r="V6" i="5"/>
  <c r="E7" i="3"/>
  <c r="J7" i="3" s="1"/>
  <c r="W6" i="5" l="1"/>
  <c r="C7" i="3"/>
  <c r="W7" i="5"/>
  <c r="C8" i="3"/>
  <c r="W5" i="5"/>
  <c r="C6" i="3"/>
  <c r="F8" i="3" l="1"/>
  <c r="F7" i="3"/>
  <c r="F6" i="3"/>
  <c r="L9" i="5" l="1"/>
  <c r="R9" i="5"/>
  <c r="N9" i="5"/>
  <c r="I9" i="5"/>
  <c r="H9" i="5"/>
  <c r="G9" i="5"/>
  <c r="F9" i="5"/>
  <c r="E10" i="3" l="1"/>
  <c r="D8" i="3" l="1"/>
  <c r="D7" i="3"/>
  <c r="D6" i="3"/>
  <c r="X9" i="5" l="1"/>
  <c r="I10" i="3" l="1"/>
  <c r="F7" i="7"/>
  <c r="F6" i="7"/>
  <c r="F5" i="7"/>
  <c r="E7" i="7"/>
  <c r="E6" i="7"/>
  <c r="E5" i="7"/>
  <c r="E9" i="7" l="1"/>
  <c r="F9" i="7"/>
  <c r="G5" i="7"/>
  <c r="G7" i="7"/>
  <c r="G6" i="7"/>
  <c r="J10" i="3"/>
  <c r="D9" i="5" l="1"/>
  <c r="I14" i="3" l="1"/>
  <c r="L14" i="3" l="1"/>
  <c r="F10" i="3"/>
  <c r="F10" i="4" l="1"/>
  <c r="F9" i="4"/>
  <c r="F8" i="4"/>
  <c r="F12" i="4" l="1"/>
  <c r="P9" i="5" l="1"/>
  <c r="K9" i="5"/>
  <c r="E10" i="4" l="1"/>
  <c r="E9" i="4"/>
  <c r="E8" i="4"/>
  <c r="E12" i="4" l="1"/>
  <c r="G9" i="4"/>
  <c r="G10" i="4"/>
  <c r="G8" i="4"/>
  <c r="G12" i="4" l="1"/>
  <c r="J9" i="5" l="1"/>
  <c r="AA7" i="5"/>
  <c r="AB7" i="5" s="1"/>
  <c r="AC7" i="5" s="1"/>
  <c r="AA6" i="5"/>
  <c r="AB6" i="5" s="1"/>
  <c r="AC6" i="5" s="1"/>
  <c r="AA5" i="5"/>
  <c r="AB5" i="5" s="1"/>
  <c r="AC5" i="5" s="1"/>
  <c r="U9" i="5" l="1"/>
  <c r="Z9" i="5"/>
  <c r="AA9" i="5"/>
  <c r="Q9" i="5"/>
  <c r="O9" i="5"/>
  <c r="S9" i="5"/>
  <c r="M9" i="5"/>
  <c r="K10" i="3" l="1"/>
  <c r="I15" i="3" s="1"/>
  <c r="T9" i="5"/>
  <c r="C10" i="3" l="1"/>
  <c r="L15" i="3" s="1"/>
  <c r="D10" i="3"/>
  <c r="V9" i="5"/>
  <c r="W9" i="5"/>
  <c r="AB9" i="5" l="1"/>
  <c r="G9" i="7" l="1"/>
  <c r="AC9" i="5" l="1"/>
</calcChain>
</file>

<file path=xl/sharedStrings.xml><?xml version="1.0" encoding="utf-8"?>
<sst xmlns="http://schemas.openxmlformats.org/spreadsheetml/2006/main" count="98" uniqueCount="64">
  <si>
    <t>S.NO</t>
  </si>
  <si>
    <t>EMPL.NO</t>
  </si>
  <si>
    <t>Said Ahmed Ibrahim</t>
  </si>
  <si>
    <t>Shaaban Said Khamis</t>
  </si>
  <si>
    <t>Silima Makame Haji</t>
  </si>
  <si>
    <t>EMPLOYEE NAME</t>
  </si>
  <si>
    <t>HRA</t>
  </si>
  <si>
    <t>MEDICAL</t>
  </si>
  <si>
    <t>FUEL</t>
  </si>
  <si>
    <t>BASIC</t>
  </si>
  <si>
    <t>GROSS SALARY</t>
  </si>
  <si>
    <t>TAXABLE INCOME</t>
  </si>
  <si>
    <t>PAYE</t>
  </si>
  <si>
    <t>ZSSF NO</t>
  </si>
  <si>
    <t>SDL</t>
  </si>
  <si>
    <t>REMARKS</t>
  </si>
  <si>
    <t>ZANZIBAR SOCIAL SECURITY FUND</t>
  </si>
  <si>
    <t>CONTRIBUTION RETURN FORM</t>
  </si>
  <si>
    <t>TRANSWORLD AVIATION LIMITED</t>
  </si>
  <si>
    <t>REGISTRATION NO.</t>
  </si>
  <si>
    <t>CONTRIBUTION FOR THE MONTH OF :</t>
  </si>
  <si>
    <t>SALARY</t>
  </si>
  <si>
    <t>PAYE AND SDL</t>
  </si>
  <si>
    <t>ADDVANCE</t>
  </si>
  <si>
    <t>OT HOURS</t>
  </si>
  <si>
    <t>@ 1.25</t>
  </si>
  <si>
    <t>OVERTIME ON</t>
  </si>
  <si>
    <t>NORMAL DAYS</t>
  </si>
  <si>
    <t>@ 1.50</t>
  </si>
  <si>
    <t>WEEKENDS</t>
  </si>
  <si>
    <t>@ 2.00</t>
  </si>
  <si>
    <t>HOLIDAYS</t>
  </si>
  <si>
    <t>GROSS</t>
  </si>
  <si>
    <t>TOTAL</t>
  </si>
  <si>
    <t>DEDUCTION</t>
  </si>
  <si>
    <t xml:space="preserve">NET </t>
  </si>
  <si>
    <t>NIGHT DUTY</t>
  </si>
  <si>
    <t>HRS</t>
  </si>
  <si>
    <t xml:space="preserve">NIGHT </t>
  </si>
  <si>
    <t xml:space="preserve">ALLOWANCE </t>
  </si>
  <si>
    <t>FOOD</t>
  </si>
  <si>
    <t>COUPONS</t>
  </si>
  <si>
    <t xml:space="preserve">FOOD </t>
  </si>
  <si>
    <t>ALLOWANCE</t>
  </si>
  <si>
    <t>ZSSF @ 7%</t>
  </si>
  <si>
    <t>Attendance</t>
  </si>
  <si>
    <t>RESPONSIBILITY</t>
  </si>
  <si>
    <t>COTWU</t>
  </si>
  <si>
    <t>NAME</t>
  </si>
  <si>
    <t>ZSSF</t>
  </si>
  <si>
    <t>basic</t>
  </si>
  <si>
    <t>allw</t>
  </si>
  <si>
    <t>ZSSF @ 14%</t>
  </si>
  <si>
    <t>@ 21%</t>
  </si>
  <si>
    <t>TIN: 125-421-555</t>
  </si>
  <si>
    <t>ZHSF</t>
  </si>
  <si>
    <t>ZHSF @ 3.5%</t>
  </si>
  <si>
    <t>EMPLOYEE 3.5%</t>
  </si>
  <si>
    <t>TWA 3.5%</t>
  </si>
  <si>
    <t>deduction</t>
  </si>
  <si>
    <t xml:space="preserve"> </t>
  </si>
  <si>
    <t>PAYROLL STATEMENT FOR THE MONTH OF DECEMBER 2025</t>
  </si>
  <si>
    <t>zssf #</t>
  </si>
  <si>
    <t>tin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</si>
</sst>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_);\(0\)"/>
    <numFmt numFmtId="167" formatCode="mmmm\ yyyy"/>
    <numFmt numFmtId="169" formatCode="_(* #,##0.00_);_(* \(#,##0.00\);_(* &quot;-&quot;_);_(@_)"/>
    <numFmt numFmtId="170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sz val="18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7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5" fillId="0" borderId="0" xfId="0" applyFont="1"/>
    <xf numFmtId="41" fontId="5" fillId="0" borderId="1" xfId="2" applyNumberFormat="1" applyFont="1" applyFill="1" applyBorder="1"/>
    <xf numFmtId="41" fontId="3" fillId="0" borderId="0" xfId="1" applyNumberFormat="1" applyFont="1"/>
    <xf numFmtId="41" fontId="4" fillId="0" borderId="1" xfId="1" applyNumberFormat="1" applyFont="1" applyBorder="1"/>
    <xf numFmtId="0" fontId="5" fillId="0" borderId="1" xfId="2" applyFont="1" applyFill="1" applyBorder="1" applyAlignment="1">
      <alignment shrinkToFit="1"/>
    </xf>
    <xf numFmtId="0" fontId="3" fillId="0" borderId="0" xfId="0" applyFont="1" applyAlignment="1">
      <alignment shrinkToFit="1"/>
    </xf>
    <xf numFmtId="41" fontId="6" fillId="0" borderId="1" xfId="2" applyNumberFormat="1" applyFont="1" applyFill="1" applyBorder="1" applyAlignment="1">
      <alignment horizontal="center" shrinkToFit="1"/>
    </xf>
    <xf numFmtId="0" fontId="5" fillId="0" borderId="1" xfId="0" applyFont="1" applyBorder="1" applyAlignment="1">
      <alignment shrinkToFit="1"/>
    </xf>
    <xf numFmtId="0" fontId="10" fillId="0" borderId="0" xfId="0" applyFont="1"/>
    <xf numFmtId="0" fontId="11" fillId="0" borderId="0" xfId="0" applyFont="1"/>
    <xf numFmtId="0" fontId="3" fillId="0" borderId="3" xfId="0" applyFont="1" applyBorder="1" applyAlignment="1">
      <alignment shrinkToFit="1"/>
    </xf>
    <xf numFmtId="41" fontId="3" fillId="0" borderId="3" xfId="1" applyNumberFormat="1" applyFont="1" applyBorder="1"/>
    <xf numFmtId="0" fontId="0" fillId="0" borderId="3" xfId="0" applyBorder="1"/>
    <xf numFmtId="41" fontId="0" fillId="0" borderId="1" xfId="0" applyNumberFormat="1" applyBorder="1"/>
    <xf numFmtId="1" fontId="6" fillId="0" borderId="1" xfId="2" applyNumberFormat="1" applyFont="1" applyFill="1" applyBorder="1" applyAlignment="1">
      <alignment horizontal="center" shrinkToFit="1"/>
    </xf>
    <xf numFmtId="1" fontId="3" fillId="0" borderId="1" xfId="0" applyNumberFormat="1" applyFont="1" applyBorder="1" applyAlignment="1">
      <alignment horizontal="center"/>
    </xf>
    <xf numFmtId="166" fontId="10" fillId="0" borderId="0" xfId="1" applyNumberFormat="1" applyFont="1"/>
    <xf numFmtId="0" fontId="14" fillId="0" borderId="1" xfId="2" applyFont="1" applyFill="1" applyBorder="1" applyAlignment="1">
      <alignment shrinkToFit="1"/>
    </xf>
    <xf numFmtId="41" fontId="14" fillId="0" borderId="1" xfId="2" applyNumberFormat="1" applyFont="1" applyFill="1" applyBorder="1"/>
    <xf numFmtId="0" fontId="15" fillId="0" borderId="0" xfId="0" applyFont="1"/>
    <xf numFmtId="43" fontId="15" fillId="0" borderId="0" xfId="1" applyFont="1" applyAlignment="1">
      <alignment shrinkToFit="1"/>
    </xf>
    <xf numFmtId="41" fontId="15" fillId="0" borderId="0" xfId="1" applyNumberFormat="1" applyFont="1"/>
    <xf numFmtId="0" fontId="15" fillId="0" borderId="0" xfId="0" applyFont="1" applyAlignment="1">
      <alignment shrinkToFit="1"/>
    </xf>
    <xf numFmtId="0" fontId="6" fillId="0" borderId="4" xfId="2" applyFont="1" applyFill="1" applyBorder="1" applyAlignment="1">
      <alignment horizontal="center" shrinkToFit="1"/>
    </xf>
    <xf numFmtId="1" fontId="3" fillId="0" borderId="0" xfId="0" applyNumberFormat="1" applyFont="1" applyAlignment="1">
      <alignment horizontal="center"/>
    </xf>
    <xf numFmtId="43" fontId="15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43" fontId="5" fillId="0" borderId="1" xfId="2" applyNumberFormat="1" applyFont="1" applyFill="1" applyBorder="1"/>
    <xf numFmtId="0" fontId="13" fillId="0" borderId="0" xfId="0" applyFont="1" applyAlignment="1">
      <alignment vertical="center" shrinkToFit="1"/>
    </xf>
    <xf numFmtId="0" fontId="15" fillId="0" borderId="0" xfId="0" applyFont="1" applyAlignment="1">
      <alignment horizontal="center" vertical="center" shrinkToFit="1"/>
    </xf>
    <xf numFmtId="0" fontId="18" fillId="0" borderId="0" xfId="0" applyFont="1"/>
    <xf numFmtId="17" fontId="16" fillId="0" borderId="3" xfId="1" applyNumberFormat="1" applyFont="1" applyBorder="1" applyAlignment="1">
      <alignment horizontal="left"/>
    </xf>
    <xf numFmtId="41" fontId="12" fillId="0" borderId="5" xfId="2" applyNumberFormat="1" applyFont="1" applyFill="1" applyBorder="1" applyAlignment="1">
      <alignment horizontal="center" vertical="center" shrinkToFit="1"/>
    </xf>
    <xf numFmtId="41" fontId="6" fillId="0" borderId="6" xfId="1" applyNumberFormat="1" applyFont="1" applyBorder="1" applyAlignment="1">
      <alignment horizontal="center" vertical="center" shrinkToFit="1"/>
    </xf>
    <xf numFmtId="41" fontId="6" fillId="0" borderId="6" xfId="2" applyNumberFormat="1" applyFont="1" applyFill="1" applyBorder="1" applyAlignment="1">
      <alignment vertical="center" shrinkToFit="1"/>
    </xf>
    <xf numFmtId="41" fontId="6" fillId="0" borderId="5" xfId="2" applyNumberFormat="1" applyFont="1" applyFill="1" applyBorder="1" applyAlignment="1">
      <alignment vertical="center" shrinkToFit="1"/>
    </xf>
    <xf numFmtId="43" fontId="6" fillId="0" borderId="5" xfId="2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41" fontId="5" fillId="0" borderId="1" xfId="1" applyNumberFormat="1" applyFont="1" applyBorder="1"/>
    <xf numFmtId="0" fontId="3" fillId="0" borderId="1" xfId="0" applyFont="1" applyBorder="1" applyAlignment="1">
      <alignment shrinkToFit="1"/>
    </xf>
    <xf numFmtId="43" fontId="3" fillId="0" borderId="0" xfId="1" applyFont="1"/>
    <xf numFmtId="0" fontId="10" fillId="0" borderId="1" xfId="2" applyFont="1" applyFill="1" applyBorder="1" applyAlignment="1">
      <alignment horizontal="center" shrinkToFit="1"/>
    </xf>
    <xf numFmtId="1" fontId="10" fillId="0" borderId="4" xfId="2" applyNumberFormat="1" applyFont="1" applyFill="1" applyBorder="1" applyAlignment="1">
      <alignment horizontal="center"/>
    </xf>
    <xf numFmtId="41" fontId="10" fillId="0" borderId="1" xfId="2" applyNumberFormat="1" applyFont="1" applyFill="1" applyBorder="1" applyAlignment="1">
      <alignment horizontal="center" shrinkToFit="1"/>
    </xf>
    <xf numFmtId="9" fontId="10" fillId="0" borderId="1" xfId="2" quotePrefix="1" applyNumberFormat="1" applyFont="1" applyFill="1" applyBorder="1" applyAlignment="1">
      <alignment horizontal="center" shrinkToFit="1"/>
    </xf>
    <xf numFmtId="0" fontId="19" fillId="0" borderId="0" xfId="0" applyFont="1"/>
    <xf numFmtId="0" fontId="7" fillId="0" borderId="1" xfId="2" applyFont="1" applyFill="1" applyBorder="1" applyAlignment="1">
      <alignment horizontal="center"/>
    </xf>
    <xf numFmtId="1" fontId="7" fillId="0" borderId="4" xfId="2" applyNumberFormat="1" applyFont="1" applyFill="1" applyBorder="1" applyAlignment="1">
      <alignment horizontal="center"/>
    </xf>
    <xf numFmtId="0" fontId="7" fillId="0" borderId="1" xfId="2" applyFont="1" applyFill="1" applyBorder="1" applyAlignment="1">
      <alignment shrinkToFit="1"/>
    </xf>
    <xf numFmtId="41" fontId="7" fillId="0" borderId="1" xfId="2" applyNumberFormat="1" applyFont="1" applyFill="1" applyBorder="1"/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43" fontId="7" fillId="0" borderId="1" xfId="1" applyFont="1" applyBorder="1" applyAlignment="1">
      <alignment shrinkToFit="1"/>
    </xf>
    <xf numFmtId="41" fontId="7" fillId="0" borderId="1" xfId="1" applyNumberFormat="1" applyFont="1" applyBorder="1"/>
    <xf numFmtId="43" fontId="7" fillId="0" borderId="0" xfId="1" applyFont="1" applyAlignment="1">
      <alignment shrinkToFit="1"/>
    </xf>
    <xf numFmtId="0" fontId="14" fillId="0" borderId="1" xfId="2" applyFont="1" applyFill="1" applyBorder="1" applyAlignment="1">
      <alignment horizontal="center"/>
    </xf>
    <xf numFmtId="1" fontId="14" fillId="0" borderId="1" xfId="2" applyNumberFormat="1" applyFont="1" applyFill="1" applyBorder="1" applyAlignment="1">
      <alignment horizontal="center" shrinkToFit="1"/>
    </xf>
    <xf numFmtId="1" fontId="15" fillId="0" borderId="0" xfId="1" applyNumberFormat="1" applyFont="1" applyAlignment="1">
      <alignment horizontal="center" shrinkToFit="1"/>
    </xf>
    <xf numFmtId="1" fontId="15" fillId="0" borderId="0" xfId="0" applyNumberFormat="1" applyFont="1" applyAlignment="1">
      <alignment horizontal="center" shrinkToFit="1"/>
    </xf>
    <xf numFmtId="0" fontId="15" fillId="0" borderId="2" xfId="0" applyFont="1" applyBorder="1" applyAlignment="1">
      <alignment horizontal="center"/>
    </xf>
    <xf numFmtId="3" fontId="14" fillId="0" borderId="0" xfId="0" applyNumberFormat="1" applyFont="1"/>
    <xf numFmtId="41" fontId="14" fillId="0" borderId="1" xfId="1" applyNumberFormat="1" applyFont="1" applyBorder="1"/>
    <xf numFmtId="0" fontId="15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shrinkToFit="1"/>
    </xf>
    <xf numFmtId="164" fontId="14" fillId="0" borderId="1" xfId="0" applyNumberFormat="1" applyFont="1" applyBorder="1"/>
    <xf numFmtId="41" fontId="12" fillId="0" borderId="1" xfId="1" applyNumberFormat="1" applyFont="1" applyBorder="1" applyAlignment="1">
      <alignment horizontal="left"/>
    </xf>
    <xf numFmtId="0" fontId="13" fillId="0" borderId="1" xfId="2" applyFont="1" applyFill="1" applyBorder="1" applyAlignment="1">
      <alignment horizontal="center" vertical="center"/>
    </xf>
    <xf numFmtId="0" fontId="13" fillId="0" borderId="1" xfId="2" applyFont="1" applyFill="1" applyBorder="1" applyAlignment="1">
      <alignment vertical="center" shrinkToFit="1"/>
    </xf>
    <xf numFmtId="1" fontId="13" fillId="0" borderId="1" xfId="2" applyNumberFormat="1" applyFont="1" applyFill="1" applyBorder="1" applyAlignment="1">
      <alignment horizontal="center" vertical="center" shrinkToFit="1"/>
    </xf>
    <xf numFmtId="41" fontId="4" fillId="0" borderId="1" xfId="2" applyNumberFormat="1" applyFont="1" applyFill="1" applyBorder="1" applyAlignment="1">
      <alignment vertical="center"/>
    </xf>
    <xf numFmtId="41" fontId="12" fillId="0" borderId="6" xfId="1" applyNumberFormat="1" applyFont="1" applyFill="1" applyBorder="1" applyAlignment="1">
      <alignment horizontal="center" vertical="center" shrinkToFit="1"/>
    </xf>
    <xf numFmtId="43" fontId="6" fillId="0" borderId="6" xfId="1" applyFont="1" applyFill="1" applyBorder="1" applyAlignment="1">
      <alignment horizontal="center" vertical="center" shrinkToFit="1"/>
    </xf>
    <xf numFmtId="41" fontId="15" fillId="0" borderId="0" xfId="1" applyNumberFormat="1" applyFont="1" applyFill="1"/>
    <xf numFmtId="43" fontId="15" fillId="0" borderId="0" xfId="1" applyFont="1" applyFill="1"/>
    <xf numFmtId="41" fontId="3" fillId="0" borderId="0" xfId="1" applyNumberFormat="1" applyFont="1" applyFill="1"/>
    <xf numFmtId="41" fontId="6" fillId="0" borderId="0" xfId="2" applyNumberFormat="1" applyFont="1" applyFill="1" applyBorder="1" applyAlignment="1">
      <alignment horizontal="center" shrinkToFit="1"/>
    </xf>
    <xf numFmtId="41" fontId="0" fillId="0" borderId="0" xfId="0" applyNumberFormat="1"/>
    <xf numFmtId="0" fontId="3" fillId="0" borderId="1" xfId="0" applyFont="1" applyBorder="1"/>
    <xf numFmtId="0" fontId="14" fillId="0" borderId="1" xfId="0" applyFont="1" applyBorder="1" applyAlignment="1">
      <alignment shrinkToFit="1"/>
    </xf>
    <xf numFmtId="1" fontId="14" fillId="0" borderId="1" xfId="2" applyNumberFormat="1" applyFont="1" applyFill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41" fontId="6" fillId="0" borderId="2" xfId="2" applyNumberFormat="1" applyFont="1" applyFill="1" applyBorder="1" applyAlignment="1">
      <alignment horizontal="center" shrinkToFit="1"/>
    </xf>
    <xf numFmtId="41" fontId="6" fillId="0" borderId="6" xfId="2" applyNumberFormat="1" applyFont="1" applyFill="1" applyBorder="1" applyAlignment="1">
      <alignment horizontal="center" vertical="center" shrinkToFit="1"/>
    </xf>
    <xf numFmtId="41" fontId="6" fillId="0" borderId="5" xfId="2" applyNumberFormat="1" applyFont="1" applyFill="1" applyBorder="1" applyAlignment="1">
      <alignment horizontal="center" vertical="center" shrinkToFit="1"/>
    </xf>
    <xf numFmtId="165" fontId="6" fillId="0" borderId="6" xfId="1" applyNumberFormat="1" applyFont="1" applyFill="1" applyBorder="1" applyAlignment="1">
      <alignment horizontal="right" vertical="center" shrinkToFit="1"/>
    </xf>
    <xf numFmtId="41" fontId="6" fillId="0" borderId="6" xfId="1" applyNumberFormat="1" applyFont="1" applyFill="1" applyBorder="1" applyAlignment="1">
      <alignment horizontal="right" vertical="center" shrinkToFit="1"/>
    </xf>
    <xf numFmtId="41" fontId="12" fillId="0" borderId="6" xfId="1" applyNumberFormat="1" applyFont="1" applyFill="1" applyBorder="1" applyAlignment="1">
      <alignment horizontal="right" vertical="center" shrinkToFit="1"/>
    </xf>
    <xf numFmtId="43" fontId="6" fillId="0" borderId="6" xfId="1" applyFont="1" applyFill="1" applyBorder="1" applyAlignment="1">
      <alignment horizontal="right" vertical="center" shrinkToFit="1"/>
    </xf>
    <xf numFmtId="165" fontId="6" fillId="0" borderId="5" xfId="2" quotePrefix="1" applyNumberFormat="1" applyFont="1" applyFill="1" applyBorder="1" applyAlignment="1">
      <alignment horizontal="right" vertical="center" shrinkToFit="1"/>
    </xf>
    <xf numFmtId="41" fontId="6" fillId="0" borderId="5" xfId="2" applyNumberFormat="1" applyFont="1" applyFill="1" applyBorder="1" applyAlignment="1">
      <alignment horizontal="right" vertical="center" shrinkToFit="1"/>
    </xf>
    <xf numFmtId="41" fontId="12" fillId="0" borderId="5" xfId="2" applyNumberFormat="1" applyFont="1" applyFill="1" applyBorder="1" applyAlignment="1">
      <alignment horizontal="right" vertical="center" shrinkToFit="1"/>
    </xf>
    <xf numFmtId="43" fontId="6" fillId="0" borderId="5" xfId="2" quotePrefix="1" applyNumberFormat="1" applyFont="1" applyFill="1" applyBorder="1" applyAlignment="1">
      <alignment horizontal="right" vertical="center" shrinkToFit="1"/>
    </xf>
    <xf numFmtId="41" fontId="5" fillId="0" borderId="1" xfId="2" applyNumberFormat="1" applyFont="1" applyFill="1" applyBorder="1" applyAlignment="1">
      <alignment horizontal="right"/>
    </xf>
    <xf numFmtId="165" fontId="5" fillId="0" borderId="1" xfId="2" applyNumberFormat="1" applyFont="1" applyFill="1" applyBorder="1" applyAlignment="1">
      <alignment horizontal="right"/>
    </xf>
    <xf numFmtId="41" fontId="14" fillId="0" borderId="1" xfId="2" applyNumberFormat="1" applyFont="1" applyFill="1" applyBorder="1" applyAlignment="1">
      <alignment horizontal="right"/>
    </xf>
    <xf numFmtId="43" fontId="5" fillId="0" borderId="1" xfId="2" applyNumberFormat="1" applyFont="1" applyFill="1" applyBorder="1" applyAlignment="1">
      <alignment horizontal="right"/>
    </xf>
    <xf numFmtId="43" fontId="14" fillId="0" borderId="1" xfId="2" applyNumberFormat="1" applyFont="1" applyFill="1" applyBorder="1" applyAlignment="1">
      <alignment horizontal="right"/>
    </xf>
    <xf numFmtId="169" fontId="4" fillId="0" borderId="1" xfId="2" applyNumberFormat="1" applyFont="1" applyFill="1" applyBorder="1" applyAlignment="1">
      <alignment horizontal="right" vertical="center"/>
    </xf>
    <xf numFmtId="165" fontId="15" fillId="0" borderId="0" xfId="1" applyNumberFormat="1" applyFont="1" applyFill="1" applyAlignment="1">
      <alignment horizontal="right"/>
    </xf>
    <xf numFmtId="41" fontId="15" fillId="0" borderId="0" xfId="1" applyNumberFormat="1" applyFont="1" applyFill="1" applyAlignment="1">
      <alignment horizontal="right"/>
    </xf>
    <xf numFmtId="43" fontId="15" fillId="0" borderId="0" xfId="1" applyFont="1" applyFill="1" applyAlignment="1">
      <alignment horizontal="right"/>
    </xf>
    <xf numFmtId="41" fontId="7" fillId="0" borderId="0" xfId="1" applyNumberFormat="1" applyFont="1"/>
    <xf numFmtId="41" fontId="4" fillId="0" borderId="2" xfId="1" applyNumberFormat="1" applyFont="1" applyFill="1" applyBorder="1"/>
    <xf numFmtId="1" fontId="0" fillId="0" borderId="0" xfId="0" applyNumberFormat="1"/>
    <xf numFmtId="1" fontId="6" fillId="0" borderId="2" xfId="2" applyNumberFormat="1" applyFont="1" applyFill="1" applyBorder="1" applyAlignment="1">
      <alignment horizontal="center" shrinkToFit="1"/>
    </xf>
    <xf numFmtId="41" fontId="4" fillId="0" borderId="7" xfId="2" applyNumberFormat="1" applyFont="1" applyFill="1" applyBorder="1" applyAlignment="1">
      <alignment vertical="center"/>
    </xf>
    <xf numFmtId="41" fontId="19" fillId="0" borderId="0" xfId="0" applyNumberFormat="1" applyFont="1"/>
    <xf numFmtId="0" fontId="14" fillId="3" borderId="1" xfId="2" applyFont="1" applyFill="1" applyBorder="1" applyAlignment="1">
      <alignment shrinkToFit="1"/>
    </xf>
    <xf numFmtId="170" fontId="0" fillId="0" borderId="0" xfId="0" applyNumberFormat="1"/>
    <xf numFmtId="0" fontId="18" fillId="0" borderId="2" xfId="0" applyFont="1" applyBorder="1" applyAlignment="1">
      <alignment horizontal="center"/>
    </xf>
    <xf numFmtId="0" fontId="18" fillId="0" borderId="0" xfId="0" applyFont="1" applyAlignment="1">
      <alignment horizontal="center"/>
    </xf>
    <xf numFmtId="41" fontId="6" fillId="0" borderId="6" xfId="2" applyNumberFormat="1" applyFont="1" applyFill="1" applyBorder="1" applyAlignment="1">
      <alignment horizontal="center" vertical="center" shrinkToFit="1"/>
    </xf>
    <xf numFmtId="41" fontId="6" fillId="0" borderId="5" xfId="2" applyNumberFormat="1" applyFont="1" applyFill="1" applyBorder="1" applyAlignment="1">
      <alignment horizontal="center" vertical="center" shrinkToFit="1"/>
    </xf>
    <xf numFmtId="0" fontId="12" fillId="0" borderId="6" xfId="2" applyFont="1" applyFill="1" applyBorder="1" applyAlignment="1">
      <alignment horizontal="center" vertical="center" shrinkToFit="1"/>
    </xf>
    <xf numFmtId="0" fontId="12" fillId="0" borderId="5" xfId="2" applyFont="1" applyFill="1" applyBorder="1" applyAlignment="1">
      <alignment horizontal="center" vertical="center" shrinkToFit="1"/>
    </xf>
    <xf numFmtId="1" fontId="12" fillId="0" borderId="6" xfId="2" applyNumberFormat="1" applyFont="1" applyFill="1" applyBorder="1" applyAlignment="1">
      <alignment horizontal="center" vertical="center" shrinkToFit="1"/>
    </xf>
    <xf numFmtId="1" fontId="12" fillId="0" borderId="5" xfId="2" applyNumberFormat="1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/>
    </xf>
    <xf numFmtId="167" fontId="5" fillId="0" borderId="3" xfId="0" applyNumberFormat="1" applyFont="1" applyBorder="1" applyAlignment="1">
      <alignment horizontal="center"/>
    </xf>
    <xf numFmtId="41" fontId="0" fillId="0" borderId="0" xfId="0" applyNumberFormat="1" applyAlignment="1">
      <alignment horizontal="center"/>
    </xf>
    <xf numFmtId="170" fontId="0" fillId="0" borderId="0" xfId="1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1" fontId="7" fillId="0" borderId="0" xfId="1" applyNumberFormat="1" applyFont="1"/>
    <xf numFmtId="3" fontId="6" fillId="0" borderId="1" xfId="2" applyNumberFormat="1" applyFont="1" applyFill="1" applyBorder="1" applyAlignment="1">
      <alignment horizontal="center" vertical="center" shrinkToFit="1"/>
    </xf>
    <xf numFmtId="1" fontId="18" fillId="0" borderId="0" xfId="0" applyNumberFormat="1" applyFont="1" applyAlignment="1">
      <alignment horizontal="center"/>
    </xf>
    <xf numFmtId="17" fontId="19" fillId="0" borderId="3" xfId="0" applyNumberFormat="1" applyFont="1" applyBorder="1" applyAlignment="1">
      <alignment horizontal="center"/>
    </xf>
    <xf numFmtId="1" fontId="12" fillId="0" borderId="1" xfId="2" applyNumberFormat="1" applyFont="1" applyFill="1" applyBorder="1" applyAlignment="1">
      <alignment horizontal="center" vertical="center" shrinkToFit="1"/>
    </xf>
    <xf numFmtId="0" fontId="12" fillId="0" borderId="1" xfId="2" applyFont="1" applyFill="1" applyBorder="1" applyAlignment="1">
      <alignment horizontal="center" vertical="center" shrinkToFit="1"/>
    </xf>
    <xf numFmtId="41" fontId="6" fillId="0" borderId="1" xfId="2" applyNumberFormat="1" applyFont="1" applyFill="1" applyBorder="1" applyAlignment="1">
      <alignment horizontal="center" vertical="center" shrinkToFit="1"/>
    </xf>
  </cellXfs>
  <cellStyles count="6">
    <cellStyle name="Accent6" xfId="2" builtinId="49"/>
    <cellStyle name="Comma" xfId="1" builtinId="3"/>
    <cellStyle name="Comma [0] 2" xfId="5" xr:uid="{00000000-0005-0000-0000-000003000000}"/>
    <cellStyle name="Comma 2" xfId="4" xr:uid="{00000000-0005-0000-0000-000004000000}"/>
    <cellStyle name="Normal" xfId="0" builtinId="0"/>
    <cellStyle name="Normal 2" xfId="3" xr:uid="{00000000-0005-0000-0000-000007000000}"/>
  </cellStyles>
  <dxfs count="7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yak/Downloads/Statement%20and%20Payment%20of%20Tax%20Withheld%20for%20Employees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E_RETURN_DETAILS"/>
      <sheetName val="PAYE"/>
      <sheetName val="ReadMe"/>
      <sheetName val="PAYETAXRATE"/>
      <sheetName val="TAXCAL"/>
      <sheetName val="Statement and Payment of Tax Wi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C11"/>
  <sheetViews>
    <sheetView topLeftCell="N1" zoomScaleNormal="100" workbookViewId="0">
      <selection activeCell="AC8" sqref="AC8"/>
    </sheetView>
  </sheetViews>
  <sheetFormatPr defaultColWidth="9.140625" defaultRowHeight="12.75" x14ac:dyDescent="0.2"/>
  <cols>
    <col min="1" max="1" width="5.85546875" style="62" bestFit="1" customWidth="1"/>
    <col min="2" max="2" width="13.7109375" style="28" customWidth="1"/>
    <col min="3" max="3" width="31.28515625" style="24" bestFit="1" customWidth="1"/>
    <col min="4" max="4" width="9.140625" style="61" customWidth="1"/>
    <col min="5" max="5" width="12.5703125" style="23" customWidth="1"/>
    <col min="6" max="6" width="11.5703125" style="23" customWidth="1"/>
    <col min="7" max="7" width="13.7109375" style="23" customWidth="1"/>
    <col min="8" max="8" width="11.140625" style="76" customWidth="1"/>
    <col min="9" max="9" width="11.5703125" style="76" customWidth="1"/>
    <col min="10" max="10" width="5.85546875" style="76" customWidth="1"/>
    <col min="11" max="11" width="9.7109375" style="76" customWidth="1"/>
    <col min="12" max="12" width="9.140625" style="102" customWidth="1"/>
    <col min="13" max="13" width="11.28515625" style="103" customWidth="1"/>
    <col min="14" max="14" width="10.85546875" style="102" customWidth="1"/>
    <col min="15" max="15" width="12.5703125" style="103" customWidth="1"/>
    <col min="16" max="16" width="8.7109375" style="104" customWidth="1"/>
    <col min="17" max="17" width="13.42578125" style="76" customWidth="1"/>
    <col min="18" max="18" width="10.5703125" style="77" customWidth="1"/>
    <col min="19" max="19" width="11" style="78" customWidth="1"/>
    <col min="20" max="20" width="13.5703125" style="76" customWidth="1"/>
    <col min="21" max="21" width="10.7109375" style="76" customWidth="1"/>
    <col min="22" max="22" width="11.85546875" style="76" customWidth="1"/>
    <col min="23" max="23" width="11" style="76" customWidth="1"/>
    <col min="24" max="24" width="10.28515625" style="76" customWidth="1"/>
    <col min="25" max="25" width="11.5703125" style="76" customWidth="1"/>
    <col min="26" max="26" width="10" style="76" customWidth="1"/>
    <col min="27" max="27" width="10" style="23" customWidth="1"/>
    <col min="28" max="28" width="11.42578125" style="23" customWidth="1"/>
    <col min="29" max="29" width="11.7109375" style="23" customWidth="1"/>
    <col min="30" max="30" width="7" style="21" customWidth="1"/>
    <col min="31" max="31" width="9.140625" style="21"/>
    <col min="32" max="32" width="13.7109375" style="21" bestFit="1" customWidth="1"/>
    <col min="33" max="33" width="27.7109375" style="21" bestFit="1" customWidth="1"/>
    <col min="34" max="16384" width="9.140625" style="21"/>
  </cols>
  <sheetData>
    <row r="1" spans="1:29" s="32" customFormat="1" ht="21" x14ac:dyDescent="0.35">
      <c r="A1" s="113" t="s">
        <v>61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</row>
    <row r="3" spans="1:29" s="31" customFormat="1" ht="15" customHeight="1" x14ac:dyDescent="0.25">
      <c r="A3" s="117" t="s">
        <v>0</v>
      </c>
      <c r="B3" s="117" t="s">
        <v>1</v>
      </c>
      <c r="C3" s="117" t="s">
        <v>5</v>
      </c>
      <c r="D3" s="119" t="s">
        <v>45</v>
      </c>
      <c r="E3" s="115" t="s">
        <v>9</v>
      </c>
      <c r="F3" s="115" t="s">
        <v>6</v>
      </c>
      <c r="G3" s="115" t="s">
        <v>7</v>
      </c>
      <c r="H3" s="86" t="s">
        <v>46</v>
      </c>
      <c r="I3" s="115" t="s">
        <v>8</v>
      </c>
      <c r="J3" s="86" t="s">
        <v>40</v>
      </c>
      <c r="K3" s="86" t="s">
        <v>42</v>
      </c>
      <c r="L3" s="88" t="s">
        <v>24</v>
      </c>
      <c r="M3" s="89" t="s">
        <v>26</v>
      </c>
      <c r="N3" s="88" t="s">
        <v>24</v>
      </c>
      <c r="O3" s="90" t="s">
        <v>26</v>
      </c>
      <c r="P3" s="91" t="s">
        <v>24</v>
      </c>
      <c r="Q3" s="74" t="s">
        <v>26</v>
      </c>
      <c r="R3" s="75" t="s">
        <v>36</v>
      </c>
      <c r="S3" s="36" t="s">
        <v>38</v>
      </c>
      <c r="T3" s="74" t="s">
        <v>32</v>
      </c>
      <c r="U3" s="115" t="s">
        <v>44</v>
      </c>
      <c r="V3" s="115" t="s">
        <v>11</v>
      </c>
      <c r="W3" s="115" t="s">
        <v>12</v>
      </c>
      <c r="X3" s="115" t="s">
        <v>56</v>
      </c>
      <c r="Y3" s="115" t="s">
        <v>23</v>
      </c>
      <c r="Z3" s="115" t="s">
        <v>47</v>
      </c>
      <c r="AA3" s="86" t="s">
        <v>42</v>
      </c>
      <c r="AB3" s="35" t="s">
        <v>33</v>
      </c>
      <c r="AC3" s="35" t="s">
        <v>35</v>
      </c>
    </row>
    <row r="4" spans="1:29" s="30" customFormat="1" ht="15.75" x14ac:dyDescent="0.25">
      <c r="A4" s="118"/>
      <c r="B4" s="118"/>
      <c r="C4" s="118"/>
      <c r="D4" s="120"/>
      <c r="E4" s="116"/>
      <c r="F4" s="116"/>
      <c r="G4" s="116"/>
      <c r="H4" s="87" t="s">
        <v>43</v>
      </c>
      <c r="I4" s="116"/>
      <c r="J4" s="87" t="s">
        <v>41</v>
      </c>
      <c r="K4" s="87" t="s">
        <v>43</v>
      </c>
      <c r="L4" s="92" t="s">
        <v>25</v>
      </c>
      <c r="M4" s="93" t="s">
        <v>27</v>
      </c>
      <c r="N4" s="92" t="s">
        <v>28</v>
      </c>
      <c r="O4" s="94" t="s">
        <v>29</v>
      </c>
      <c r="P4" s="95" t="s">
        <v>30</v>
      </c>
      <c r="Q4" s="34" t="s">
        <v>31</v>
      </c>
      <c r="R4" s="38" t="s">
        <v>37</v>
      </c>
      <c r="S4" s="37" t="s">
        <v>39</v>
      </c>
      <c r="T4" s="34" t="s">
        <v>21</v>
      </c>
      <c r="U4" s="116"/>
      <c r="V4" s="116"/>
      <c r="W4" s="116"/>
      <c r="X4" s="116"/>
      <c r="Y4" s="116"/>
      <c r="Z4" s="116"/>
      <c r="AA4" s="87" t="s">
        <v>41</v>
      </c>
      <c r="AB4" s="87" t="s">
        <v>34</v>
      </c>
      <c r="AC4" s="87" t="s">
        <v>21</v>
      </c>
    </row>
    <row r="5" spans="1:29" ht="15.75" x14ac:dyDescent="0.25">
      <c r="A5" s="58">
        <v>1</v>
      </c>
      <c r="B5" s="58">
        <v>20150701009</v>
      </c>
      <c r="C5" s="19" t="s">
        <v>2</v>
      </c>
      <c r="D5" s="59">
        <v>18</v>
      </c>
      <c r="E5" s="3">
        <v>462000</v>
      </c>
      <c r="F5" s="3">
        <v>140000</v>
      </c>
      <c r="G5" s="3">
        <v>98000.000000000015</v>
      </c>
      <c r="H5" s="3">
        <v>100000</v>
      </c>
      <c r="I5" s="3">
        <v>0</v>
      </c>
      <c r="J5" s="3"/>
      <c r="K5" s="3"/>
      <c r="L5" s="99">
        <v>2.25</v>
      </c>
      <c r="M5" s="96">
        <f t="shared" ref="M5:M7" si="0">ROUND((((E5/30)/8)*2*L5),0)</f>
        <v>8663</v>
      </c>
      <c r="N5" s="99">
        <v>5</v>
      </c>
      <c r="O5" s="100">
        <f t="shared" ref="O5:O7" si="1">ROUND((((E5/30)/8)*2*N5),0)</f>
        <v>19250</v>
      </c>
      <c r="P5" s="99">
        <v>7.5</v>
      </c>
      <c r="Q5" s="20">
        <f t="shared" ref="Q5:Q7" si="2">ROUND((((E5/30)/8*2.5)*P5),0)</f>
        <v>36094</v>
      </c>
      <c r="R5" s="29">
        <v>6.75</v>
      </c>
      <c r="S5" s="3">
        <f t="shared" ref="S5:S7" si="3">ROUND(((((E5/30)/8)*5%)*R5),0)</f>
        <v>650</v>
      </c>
      <c r="T5" s="20">
        <f t="shared" ref="T5:T7" si="4">E5+F5+G5+H5+I5+K5+M5+O5+Q5+S5</f>
        <v>864657</v>
      </c>
      <c r="U5" s="3">
        <f t="shared" ref="U5:U7" si="5">ROUND(E5*7%,0)</f>
        <v>32340</v>
      </c>
      <c r="V5" s="3">
        <f t="shared" ref="V5:V7" si="6">T5-(U5+X5)</f>
        <v>816147</v>
      </c>
      <c r="W5" s="3">
        <f t="shared" ref="W5:W7" si="7">ROUND(IF(V5&lt;270001,0,IF(V5&gt;270000,IF(V5&lt;520001,(V5-270000)*8%,IF(V5&gt;520000,IF(V5&lt;760001,((V5-520000)*20%+20000),IF(V5&gt;760000,IF(V5&lt;1000001,((V5-760000)*25%+68000),(V5-1000000)*30%+128000))))))),0)</f>
        <v>82037</v>
      </c>
      <c r="X5" s="3">
        <f t="shared" ref="X5:X7" si="8">E5*3.5%</f>
        <v>16170.000000000002</v>
      </c>
      <c r="Y5" s="3">
        <v>0</v>
      </c>
      <c r="Z5" s="3"/>
      <c r="AA5" s="3">
        <f t="shared" ref="AA5:AA7" si="9">K5</f>
        <v>0</v>
      </c>
      <c r="AB5" s="3">
        <f t="shared" ref="AB5:AB7" si="10">U5+W5+X5+Y5+Z5+AA5</f>
        <v>130547</v>
      </c>
      <c r="AC5" s="3">
        <f t="shared" ref="AC5:AC7" si="11">T5-AB5</f>
        <v>734110</v>
      </c>
    </row>
    <row r="6" spans="1:29" ht="15.75" x14ac:dyDescent="0.25">
      <c r="A6" s="58">
        <v>2</v>
      </c>
      <c r="B6" s="58">
        <v>20150701014</v>
      </c>
      <c r="C6" s="19" t="s">
        <v>3</v>
      </c>
      <c r="D6" s="59">
        <v>19</v>
      </c>
      <c r="E6" s="3">
        <v>594000</v>
      </c>
      <c r="F6" s="3">
        <v>180000</v>
      </c>
      <c r="G6" s="3">
        <v>126000.00000000001</v>
      </c>
      <c r="H6" s="3">
        <v>0</v>
      </c>
      <c r="I6" s="3">
        <v>14000</v>
      </c>
      <c r="J6" s="3"/>
      <c r="K6" s="3"/>
      <c r="L6" s="99">
        <v>5.5</v>
      </c>
      <c r="M6" s="96">
        <f t="shared" si="0"/>
        <v>27225</v>
      </c>
      <c r="N6" s="99">
        <v>0</v>
      </c>
      <c r="O6" s="100">
        <f t="shared" si="1"/>
        <v>0</v>
      </c>
      <c r="P6" s="99">
        <v>6.25</v>
      </c>
      <c r="Q6" s="20">
        <f t="shared" si="2"/>
        <v>38672</v>
      </c>
      <c r="R6" s="29">
        <v>5</v>
      </c>
      <c r="S6" s="3">
        <f t="shared" si="3"/>
        <v>619</v>
      </c>
      <c r="T6" s="20">
        <f t="shared" si="4"/>
        <v>980516</v>
      </c>
      <c r="U6" s="3">
        <f t="shared" si="5"/>
        <v>41580</v>
      </c>
      <c r="V6" s="3">
        <f t="shared" si="6"/>
        <v>918146</v>
      </c>
      <c r="W6" s="3">
        <f t="shared" si="7"/>
        <v>107537</v>
      </c>
      <c r="X6" s="3">
        <f t="shared" si="8"/>
        <v>20790.000000000004</v>
      </c>
      <c r="Y6" s="3">
        <v>0</v>
      </c>
      <c r="Z6" s="3"/>
      <c r="AA6" s="3">
        <f t="shared" si="9"/>
        <v>0</v>
      </c>
      <c r="AB6" s="3">
        <f t="shared" si="10"/>
        <v>169907</v>
      </c>
      <c r="AC6" s="3">
        <f t="shared" si="11"/>
        <v>810609</v>
      </c>
    </row>
    <row r="7" spans="1:29" ht="15.75" x14ac:dyDescent="0.25">
      <c r="A7" s="58">
        <v>3</v>
      </c>
      <c r="B7" s="58">
        <v>20150702029</v>
      </c>
      <c r="C7" s="19" t="s">
        <v>4</v>
      </c>
      <c r="D7" s="59">
        <v>12</v>
      </c>
      <c r="E7" s="3">
        <v>462000</v>
      </c>
      <c r="F7" s="3">
        <v>140000</v>
      </c>
      <c r="G7" s="3">
        <v>98000.000000000015</v>
      </c>
      <c r="H7" s="3">
        <v>0</v>
      </c>
      <c r="I7" s="3">
        <v>0</v>
      </c>
      <c r="J7" s="3"/>
      <c r="K7" s="3"/>
      <c r="L7" s="99">
        <v>7.75</v>
      </c>
      <c r="M7" s="96">
        <f t="shared" si="0"/>
        <v>29838</v>
      </c>
      <c r="N7" s="99">
        <v>2.5</v>
      </c>
      <c r="O7" s="100">
        <f t="shared" si="1"/>
        <v>9625</v>
      </c>
      <c r="P7" s="99">
        <v>4.25</v>
      </c>
      <c r="Q7" s="20">
        <f t="shared" si="2"/>
        <v>20453</v>
      </c>
      <c r="R7" s="29">
        <v>0</v>
      </c>
      <c r="S7" s="3">
        <f t="shared" si="3"/>
        <v>0</v>
      </c>
      <c r="T7" s="20">
        <f t="shared" si="4"/>
        <v>759916</v>
      </c>
      <c r="U7" s="3">
        <f t="shared" si="5"/>
        <v>32340</v>
      </c>
      <c r="V7" s="3">
        <f t="shared" si="6"/>
        <v>711406</v>
      </c>
      <c r="W7" s="3">
        <f t="shared" si="7"/>
        <v>58281</v>
      </c>
      <c r="X7" s="3">
        <f t="shared" si="8"/>
        <v>16170.000000000002</v>
      </c>
      <c r="Y7" s="3">
        <v>200000</v>
      </c>
      <c r="Z7" s="3">
        <v>9240</v>
      </c>
      <c r="AA7" s="3">
        <f t="shared" si="9"/>
        <v>0</v>
      </c>
      <c r="AB7" s="3">
        <f t="shared" si="10"/>
        <v>316031</v>
      </c>
      <c r="AC7" s="3">
        <f t="shared" si="11"/>
        <v>443885</v>
      </c>
    </row>
    <row r="8" spans="1:29" ht="15.75" x14ac:dyDescent="0.25">
      <c r="A8" s="58"/>
      <c r="B8" s="58"/>
      <c r="C8" s="19"/>
      <c r="D8" s="59"/>
      <c r="E8" s="3"/>
      <c r="F8" s="3"/>
      <c r="G8" s="3"/>
      <c r="H8" s="3"/>
      <c r="I8" s="3"/>
      <c r="J8" s="3"/>
      <c r="K8" s="3"/>
      <c r="L8" s="97"/>
      <c r="M8" s="96"/>
      <c r="N8" s="97"/>
      <c r="O8" s="98"/>
      <c r="P8" s="99"/>
      <c r="Q8" s="20"/>
      <c r="R8" s="29"/>
      <c r="S8" s="3"/>
      <c r="T8" s="20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70"/>
      <c r="B9" s="70"/>
      <c r="C9" s="71"/>
      <c r="D9" s="72">
        <f>SUM(D5:D8)</f>
        <v>49</v>
      </c>
      <c r="E9" s="73">
        <f>SUM(E5:E8)</f>
        <v>1518000</v>
      </c>
      <c r="F9" s="73">
        <f>SUM(F5:F8)</f>
        <v>460000</v>
      </c>
      <c r="G9" s="73">
        <f>SUM(G5:G8)</f>
        <v>322000.00000000006</v>
      </c>
      <c r="H9" s="73">
        <f>SUM(H5:H8)</f>
        <v>100000</v>
      </c>
      <c r="I9" s="73">
        <f>SUM(I5:I8)</f>
        <v>14000</v>
      </c>
      <c r="J9" s="72">
        <f>SUM(J5:J8)</f>
        <v>0</v>
      </c>
      <c r="K9" s="73">
        <f>SUM(K5:K8)</f>
        <v>0</v>
      </c>
      <c r="L9" s="101">
        <f>SUM(L5:L8)</f>
        <v>15.5</v>
      </c>
      <c r="M9" s="73">
        <f>SUM(M5:M8)</f>
        <v>65726</v>
      </c>
      <c r="N9" s="101">
        <f>SUM(N5:N8)</f>
        <v>7.5</v>
      </c>
      <c r="O9" s="73">
        <f>SUM(O5:O8)</f>
        <v>28875</v>
      </c>
      <c r="P9" s="101">
        <f>SUM(P5:P8)</f>
        <v>18</v>
      </c>
      <c r="Q9" s="73">
        <f>SUM(Q5:Q8)</f>
        <v>95219</v>
      </c>
      <c r="R9" s="101">
        <f>SUM(R5:R8)</f>
        <v>11.75</v>
      </c>
      <c r="S9" s="73">
        <f>SUM(S5:S8)</f>
        <v>1269</v>
      </c>
      <c r="T9" s="73">
        <f>SUM(T5:T8)</f>
        <v>2605089</v>
      </c>
      <c r="U9" s="73">
        <f>SUM(U5:U8)</f>
        <v>106260</v>
      </c>
      <c r="V9" s="73">
        <f>SUM(V5:V8)</f>
        <v>2445699</v>
      </c>
      <c r="W9" s="73">
        <f>SUM(W5:W8)</f>
        <v>247855</v>
      </c>
      <c r="X9" s="73">
        <f>SUM(X5:X8)</f>
        <v>53130.000000000007</v>
      </c>
      <c r="Y9" s="73">
        <f>SUM(Y5:Y8)</f>
        <v>200000</v>
      </c>
      <c r="Z9" s="73">
        <f>SUM(Z5:Z8)</f>
        <v>9240</v>
      </c>
      <c r="AA9" s="73">
        <f>SUM(AA5:AA8)</f>
        <v>0</v>
      </c>
      <c r="AB9" s="73">
        <f>SUM(AB5:AB8)</f>
        <v>616485</v>
      </c>
      <c r="AC9" s="73">
        <f>SUM(AC5:AC8)</f>
        <v>1988604</v>
      </c>
    </row>
    <row r="11" spans="1:29" x14ac:dyDescent="0.2">
      <c r="A11" s="27"/>
      <c r="B11" s="27"/>
      <c r="C11" s="22"/>
      <c r="D11" s="60"/>
      <c r="G11" s="109"/>
    </row>
  </sheetData>
  <autoFilter ref="A3:AC9" xr:uid="{00000000-0001-0000-0000-000000000000}"/>
  <sortState xmlns:xlrd2="http://schemas.microsoft.com/office/spreadsheetml/2017/richdata2" ref="B5:I7">
    <sortCondition ref="B5:B7"/>
  </sortState>
  <mergeCells count="15">
    <mergeCell ref="A1:AC1"/>
    <mergeCell ref="Z3:Z4"/>
    <mergeCell ref="W3:W4"/>
    <mergeCell ref="Y3:Y4"/>
    <mergeCell ref="A3:A4"/>
    <mergeCell ref="B3:B4"/>
    <mergeCell ref="C3:C4"/>
    <mergeCell ref="E3:E4"/>
    <mergeCell ref="F3:F4"/>
    <mergeCell ref="G3:G4"/>
    <mergeCell ref="I3:I4"/>
    <mergeCell ref="U3:U4"/>
    <mergeCell ref="V3:V4"/>
    <mergeCell ref="D3:D4"/>
    <mergeCell ref="X3:X4"/>
  </mergeCells>
  <conditionalFormatting sqref="B11:B1048576 B1:B9">
    <cfRule type="duplicateValues" dxfId="6" priority="206"/>
  </conditionalFormatting>
  <conditionalFormatting sqref="D5:D7">
    <cfRule type="cellIs" dxfId="5" priority="2" operator="lessThan">
      <formula>20</formula>
    </cfRule>
  </conditionalFormatting>
  <conditionalFormatting sqref="L9 N9 R9 P1:P1048576">
    <cfRule type="cellIs" dxfId="4" priority="11" operator="greaterThan">
      <formula>12</formula>
    </cfRule>
  </conditionalFormatting>
  <conditionalFormatting sqref="Y5:Y7">
    <cfRule type="cellIs" dxfId="3" priority="19" operator="greaterThan">
      <formula>0</formula>
    </cfRule>
    <cfRule type="cellIs" dxfId="2" priority="20" operator="greaterThan">
      <formula>0</formula>
    </cfRule>
  </conditionalFormatting>
  <conditionalFormatting sqref="Z5:Z7">
    <cfRule type="cellIs" dxfId="1" priority="3" operator="greaterThan">
      <formula>0</formula>
    </cfRule>
  </conditionalFormatting>
  <pageMargins left="0.18" right="0.17" top="0.26" bottom="0.23" header="0.17" footer="0.17"/>
  <pageSetup paperSize="9" scale="2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Q15"/>
  <sheetViews>
    <sheetView zoomScaleNormal="100" workbookViewId="0">
      <pane ySplit="3" topLeftCell="A4" activePane="bottomLeft" state="frozen"/>
      <selection pane="bottomLeft" activeCell="D17" sqref="D17"/>
    </sheetView>
  </sheetViews>
  <sheetFormatPr defaultRowHeight="15" x14ac:dyDescent="0.25"/>
  <cols>
    <col min="1" max="1" width="5.5703125" style="26" customWidth="1"/>
    <col min="2" max="2" width="32.28515625" style="7" customWidth="1"/>
    <col min="3" max="3" width="13.28515625" style="4" customWidth="1"/>
    <col min="4" max="4" width="11.5703125" style="4" customWidth="1"/>
    <col min="5" max="5" width="13" style="4" customWidth="1"/>
    <col min="6" max="6" width="10" customWidth="1"/>
    <col min="7" max="7" width="7.28515625" customWidth="1"/>
    <col min="8" max="8" width="12" style="107" bestFit="1" customWidth="1"/>
    <col min="9" max="9" width="11.85546875" bestFit="1" customWidth="1"/>
    <col min="10" max="10" width="11" style="107" customWidth="1"/>
    <col min="11" max="11" width="10.5703125" bestFit="1" customWidth="1"/>
    <col min="12" max="12" width="10" bestFit="1" customWidth="1"/>
    <col min="13" max="13" width="8" customWidth="1"/>
    <col min="14" max="14" width="6.85546875" bestFit="1" customWidth="1"/>
    <col min="15" max="15" width="24.140625" customWidth="1"/>
    <col min="16" max="16" width="8.7109375" customWidth="1"/>
    <col min="17" max="17" width="9.5703125" customWidth="1"/>
  </cols>
  <sheetData>
    <row r="1" spans="1:17" ht="18.75" customHeight="1" x14ac:dyDescent="0.25">
      <c r="A1" s="125" t="s">
        <v>18</v>
      </c>
      <c r="B1" s="125"/>
      <c r="C1" s="125"/>
      <c r="D1" s="125"/>
      <c r="E1" s="125"/>
      <c r="F1" s="125"/>
    </row>
    <row r="2" spans="1:17" ht="15.75" x14ac:dyDescent="0.25">
      <c r="A2" s="125" t="s">
        <v>54</v>
      </c>
      <c r="B2" s="125"/>
      <c r="C2" s="125"/>
      <c r="D2" s="125"/>
      <c r="E2" s="125"/>
      <c r="F2" s="125"/>
    </row>
    <row r="3" spans="1:17" ht="15.75" x14ac:dyDescent="0.25">
      <c r="A3" s="121" t="s">
        <v>22</v>
      </c>
      <c r="B3" s="121"/>
      <c r="C3" s="121"/>
      <c r="D3" s="121"/>
      <c r="E3" s="121"/>
      <c r="F3" s="121"/>
    </row>
    <row r="4" spans="1:17" ht="15.75" x14ac:dyDescent="0.25">
      <c r="A4" s="122">
        <v>45992</v>
      </c>
      <c r="B4" s="122"/>
      <c r="C4" s="122"/>
      <c r="D4" s="122"/>
      <c r="E4" s="122"/>
      <c r="F4" s="122"/>
    </row>
    <row r="5" spans="1:17" ht="15.75" x14ac:dyDescent="0.25">
      <c r="A5" s="16" t="s">
        <v>0</v>
      </c>
      <c r="B5" s="25" t="s">
        <v>5</v>
      </c>
      <c r="C5" s="8" t="s">
        <v>11</v>
      </c>
      <c r="D5" s="8" t="s">
        <v>12</v>
      </c>
      <c r="E5" s="8" t="s">
        <v>10</v>
      </c>
      <c r="F5" s="8" t="s">
        <v>14</v>
      </c>
      <c r="I5" s="85" t="s">
        <v>50</v>
      </c>
      <c r="J5" s="108" t="s">
        <v>51</v>
      </c>
      <c r="K5" s="85" t="s">
        <v>59</v>
      </c>
      <c r="L5" s="85" t="s">
        <v>63</v>
      </c>
      <c r="M5" s="85" t="s">
        <v>62</v>
      </c>
      <c r="N5" s="79"/>
      <c r="O5" s="79" t="s">
        <v>48</v>
      </c>
      <c r="P5" s="79" t="s">
        <v>49</v>
      </c>
      <c r="Q5" s="79" t="s">
        <v>55</v>
      </c>
    </row>
    <row r="6" spans="1:17" ht="15.75" x14ac:dyDescent="0.25">
      <c r="A6" s="17">
        <v>1</v>
      </c>
      <c r="B6" s="6" t="s">
        <v>2</v>
      </c>
      <c r="C6" s="3">
        <f>VLOOKUP(H6,SALARY!B5:V8,21,FALSE)</f>
        <v>816147</v>
      </c>
      <c r="D6" s="3">
        <f t="shared" ref="D6:D8" si="0">ROUND(IF(C6&lt;270001,0,IF(C6&gt;270000,IF(C6&lt;520001,(C6-270000)*8%,IF(C6&gt;520000,IF(C6&lt;760001,((C6-520000)*20%+20000),IF(C6&gt;760000,IF(C6&lt;1000001,((C6-760000)*25%+68000),(C6-1000000)*30%+128000))))))),0)</f>
        <v>82037</v>
      </c>
      <c r="E6" s="3">
        <f>VLOOKUP(H6,SALARY!B5:T8,19,FALSE)</f>
        <v>864657</v>
      </c>
      <c r="F6" s="15">
        <f t="shared" ref="F6:F8" si="1">ROUND(E6*4%,0)</f>
        <v>34586</v>
      </c>
      <c r="G6" s="80"/>
      <c r="H6" s="107">
        <v>20150701009</v>
      </c>
      <c r="I6">
        <f>VLOOKUP(H6,SALARY!B5:E8,4,FALSE)</f>
        <v>462000</v>
      </c>
      <c r="J6" s="107">
        <f t="shared" ref="J6:J8" si="2">E6-I6</f>
        <v>402657</v>
      </c>
      <c r="K6" s="80">
        <f t="shared" ref="K6:K8" si="3">P6+Q6</f>
        <v>48510</v>
      </c>
      <c r="L6">
        <v>151925235</v>
      </c>
      <c r="M6">
        <v>32512</v>
      </c>
      <c r="N6" s="80"/>
      <c r="O6" t="s">
        <v>2</v>
      </c>
      <c r="P6">
        <f>VLOOKUP(H6,SALARY!B5:U8,20,FALSE)</f>
        <v>32340</v>
      </c>
      <c r="Q6">
        <f>VLOOKUP(H6,SALARY!B5:X8,23,FALSE)</f>
        <v>16170.000000000002</v>
      </c>
    </row>
    <row r="7" spans="1:17" ht="15.75" x14ac:dyDescent="0.25">
      <c r="A7" s="17">
        <v>2</v>
      </c>
      <c r="B7" s="6" t="s">
        <v>3</v>
      </c>
      <c r="C7" s="3">
        <f>VLOOKUP(H7,SALARY!B6:V9,21,FALSE)</f>
        <v>918146</v>
      </c>
      <c r="D7" s="3">
        <f t="shared" si="0"/>
        <v>107537</v>
      </c>
      <c r="E7" s="3">
        <f>VLOOKUP(H7,SALARY!B6:T9,19,FALSE)</f>
        <v>980516</v>
      </c>
      <c r="F7" s="15">
        <f t="shared" si="1"/>
        <v>39221</v>
      </c>
      <c r="G7" s="80"/>
      <c r="H7" s="107">
        <v>20150701014</v>
      </c>
      <c r="I7">
        <f>VLOOKUP(H7,SALARY!B6:E9,4,FALSE)</f>
        <v>594000</v>
      </c>
      <c r="J7" s="107">
        <f t="shared" si="2"/>
        <v>386516</v>
      </c>
      <c r="K7" s="80">
        <f t="shared" si="3"/>
        <v>62370</v>
      </c>
      <c r="L7">
        <v>148576408</v>
      </c>
      <c r="M7">
        <v>38347</v>
      </c>
      <c r="N7" s="80"/>
      <c r="O7" t="s">
        <v>3</v>
      </c>
      <c r="P7">
        <f>VLOOKUP(H7,SALARY!B6:U9,20,FALSE)</f>
        <v>41580</v>
      </c>
      <c r="Q7">
        <f>VLOOKUP(H7,SALARY!B6:X9,23,FALSE)</f>
        <v>20790.000000000004</v>
      </c>
    </row>
    <row r="8" spans="1:17" ht="15.75" x14ac:dyDescent="0.25">
      <c r="A8" s="17">
        <v>3</v>
      </c>
      <c r="B8" s="6" t="s">
        <v>4</v>
      </c>
      <c r="C8" s="3">
        <f>VLOOKUP(H8,SALARY!B7:V10,21,FALSE)</f>
        <v>711406</v>
      </c>
      <c r="D8" s="3">
        <f t="shared" si="0"/>
        <v>58281</v>
      </c>
      <c r="E8" s="3">
        <f>VLOOKUP(H8,SALARY!B7:T10,19,FALSE)</f>
        <v>759916</v>
      </c>
      <c r="F8" s="15">
        <f t="shared" si="1"/>
        <v>30397</v>
      </c>
      <c r="G8" s="80"/>
      <c r="H8" s="107">
        <v>20150702029</v>
      </c>
      <c r="I8">
        <f>VLOOKUP(H8,SALARY!B7:E10,4,FALSE)</f>
        <v>462000</v>
      </c>
      <c r="J8" s="107">
        <f t="shared" si="2"/>
        <v>297916</v>
      </c>
      <c r="K8" s="80">
        <f t="shared" si="3"/>
        <v>48510</v>
      </c>
      <c r="L8">
        <v>148178070</v>
      </c>
      <c r="M8">
        <v>70352</v>
      </c>
      <c r="N8" s="80"/>
      <c r="O8" t="s">
        <v>4</v>
      </c>
      <c r="P8">
        <f>VLOOKUP(H8,SALARY!B7:U10,20,FALSE)</f>
        <v>32340</v>
      </c>
      <c r="Q8">
        <f>VLOOKUP(H8,SALARY!B7:X10,23,FALSE)</f>
        <v>16170.000000000002</v>
      </c>
    </row>
    <row r="9" spans="1:17" ht="15.75" x14ac:dyDescent="0.25">
      <c r="A9" s="17"/>
      <c r="B9" s="9"/>
      <c r="C9" s="41"/>
      <c r="D9" s="3"/>
      <c r="E9" s="41"/>
      <c r="F9" s="15"/>
      <c r="G9" s="80"/>
      <c r="K9" s="80"/>
      <c r="P9">
        <f>SUM(P6:P8)</f>
        <v>106260</v>
      </c>
      <c r="Q9">
        <f>SUM(Q6:Q8)</f>
        <v>53130.000000000007</v>
      </c>
    </row>
    <row r="10" spans="1:17" x14ac:dyDescent="0.25">
      <c r="A10" s="17"/>
      <c r="B10" s="42"/>
      <c r="C10" s="5">
        <f>SUM(C6:C9)</f>
        <v>2445699</v>
      </c>
      <c r="D10" s="5">
        <f>SUM(D6:D9)</f>
        <v>247855</v>
      </c>
      <c r="E10" s="5">
        <f>SUM(E6:E9)</f>
        <v>2605089</v>
      </c>
      <c r="F10" s="5">
        <f>SUM(F6:F9)</f>
        <v>104204</v>
      </c>
      <c r="G10" s="80"/>
      <c r="I10" s="106">
        <f>SUM(I6:I9)</f>
        <v>1518000</v>
      </c>
      <c r="J10" s="106">
        <f>SUM(J6:J9)</f>
        <v>1087089</v>
      </c>
      <c r="K10" s="106">
        <f>SUM(K6:K9)</f>
        <v>159390</v>
      </c>
    </row>
    <row r="13" spans="1:17" x14ac:dyDescent="0.25">
      <c r="C13" s="43"/>
      <c r="E13" s="43"/>
    </row>
    <row r="14" spans="1:17" x14ac:dyDescent="0.25">
      <c r="I14" s="123">
        <f>I10+J10</f>
        <v>2605089</v>
      </c>
      <c r="J14" s="123"/>
      <c r="L14" s="80">
        <f>I14-E10</f>
        <v>0</v>
      </c>
    </row>
    <row r="15" spans="1:17" x14ac:dyDescent="0.25">
      <c r="I15" s="124">
        <f>I14-K10</f>
        <v>2445699</v>
      </c>
      <c r="J15" s="124"/>
      <c r="L15" s="112">
        <f>I15-C10</f>
        <v>0</v>
      </c>
    </row>
  </sheetData>
  <autoFilter ref="A5:J10" xr:uid="{00000000-0001-0000-0200-000000000000}"/>
  <mergeCells count="6">
    <mergeCell ref="A3:F3"/>
    <mergeCell ref="A4:F4"/>
    <mergeCell ref="I14:J14"/>
    <mergeCell ref="I15:J15"/>
    <mergeCell ref="A1:F1"/>
    <mergeCell ref="A2:F2"/>
  </mergeCells>
  <conditionalFormatting sqref="L1:L1048576">
    <cfRule type="duplicateValues" dxfId="0" priority="207"/>
  </conditionalFormatting>
  <pageMargins left="0.82677165354330717" right="0.47244094488188981" top="0.43307086614173229" bottom="0.35433070866141736" header="0.27559055118110237" footer="0.23622047244094491"/>
  <pageSetup paperSize="9" scale="61" fitToHeight="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J27"/>
  <sheetViews>
    <sheetView tabSelected="1" topLeftCell="A2" zoomScale="98" zoomScaleNormal="98" workbookViewId="0">
      <selection activeCell="A11" sqref="A11"/>
    </sheetView>
  </sheetViews>
  <sheetFormatPr defaultRowHeight="15" x14ac:dyDescent="0.25"/>
  <cols>
    <col min="1" max="1" width="5.42578125" style="1" customWidth="1"/>
    <col min="2" max="2" width="10.7109375" style="39" bestFit="1" customWidth="1"/>
    <col min="3" max="3" width="30.28515625" style="7" customWidth="1"/>
    <col min="4" max="4" width="16" style="4" bestFit="1" customWidth="1"/>
    <col min="5" max="5" width="16" style="4" customWidth="1"/>
    <col min="6" max="6" width="15.7109375" style="4" customWidth="1"/>
    <col min="7" max="7" width="16" style="4" bestFit="1" customWidth="1"/>
    <col min="8" max="8" width="16.7109375" customWidth="1"/>
    <col min="9" max="9" width="14.5703125" bestFit="1" customWidth="1"/>
    <col min="10" max="10" width="38.140625" customWidth="1"/>
    <col min="11" max="11" width="11.28515625" bestFit="1" customWidth="1"/>
  </cols>
  <sheetData>
    <row r="1" spans="1:9" ht="23.25" x14ac:dyDescent="0.35">
      <c r="A1" s="126" t="s">
        <v>16</v>
      </c>
      <c r="B1" s="126"/>
      <c r="C1" s="126"/>
      <c r="D1" s="126"/>
      <c r="E1" s="126"/>
      <c r="F1" s="126"/>
      <c r="G1" s="126"/>
      <c r="H1" s="126"/>
    </row>
    <row r="2" spans="1:9" ht="21" x14ac:dyDescent="0.35">
      <c r="A2" s="127" t="s">
        <v>17</v>
      </c>
      <c r="B2" s="127"/>
      <c r="C2" s="127"/>
      <c r="D2" s="127"/>
      <c r="E2" s="127"/>
      <c r="F2" s="127"/>
      <c r="G2" s="127"/>
      <c r="H2" s="127"/>
    </row>
    <row r="3" spans="1:9" ht="9.75" customHeight="1" x14ac:dyDescent="0.25"/>
    <row r="4" spans="1:9" ht="18.75" x14ac:dyDescent="0.3">
      <c r="A4" s="10" t="s">
        <v>18</v>
      </c>
      <c r="B4" s="40"/>
      <c r="E4" s="128" t="s">
        <v>19</v>
      </c>
      <c r="F4" s="128"/>
      <c r="G4" s="18">
        <v>1322</v>
      </c>
      <c r="H4" s="11"/>
    </row>
    <row r="5" spans="1:9" ht="9" customHeight="1" x14ac:dyDescent="0.25"/>
    <row r="6" spans="1:9" ht="21" x14ac:dyDescent="0.35">
      <c r="A6" s="2" t="s">
        <v>20</v>
      </c>
      <c r="C6" s="12"/>
      <c r="D6" s="33">
        <v>45992</v>
      </c>
      <c r="E6" s="13"/>
      <c r="F6" s="13"/>
      <c r="G6" s="13"/>
      <c r="H6" s="14"/>
    </row>
    <row r="7" spans="1:9" s="48" customFormat="1" ht="18.75" x14ac:dyDescent="0.3">
      <c r="A7" s="44" t="s">
        <v>0</v>
      </c>
      <c r="B7" s="45" t="s">
        <v>13</v>
      </c>
      <c r="C7" s="44" t="s">
        <v>5</v>
      </c>
      <c r="D7" s="46" t="s">
        <v>21</v>
      </c>
      <c r="E7" s="46" t="s">
        <v>44</v>
      </c>
      <c r="F7" s="46" t="s">
        <v>52</v>
      </c>
      <c r="G7" s="47" t="s">
        <v>53</v>
      </c>
      <c r="H7" s="46" t="s">
        <v>15</v>
      </c>
    </row>
    <row r="8" spans="1:9" s="48" customFormat="1" ht="18.75" x14ac:dyDescent="0.3">
      <c r="A8" s="49">
        <v>1</v>
      </c>
      <c r="B8" s="50">
        <v>32512</v>
      </c>
      <c r="C8" s="51" t="s">
        <v>2</v>
      </c>
      <c r="D8" s="52">
        <v>462000</v>
      </c>
      <c r="E8" s="52">
        <f t="shared" ref="E8:E10" si="0">ROUND(SUM(D8*7%),0)</f>
        <v>32340</v>
      </c>
      <c r="F8" s="52">
        <f t="shared" ref="F8:F10" si="1">ROUND((D8*14%),0)</f>
        <v>64680</v>
      </c>
      <c r="G8" s="52">
        <f t="shared" ref="G8:G10" si="2">E8+F8</f>
        <v>97020</v>
      </c>
      <c r="H8" s="53"/>
      <c r="I8" s="110"/>
    </row>
    <row r="9" spans="1:9" s="48" customFormat="1" ht="18.75" x14ac:dyDescent="0.3">
      <c r="A9" s="49">
        <v>2</v>
      </c>
      <c r="B9" s="50">
        <v>38347</v>
      </c>
      <c r="C9" s="51" t="s">
        <v>3</v>
      </c>
      <c r="D9" s="52">
        <v>594000</v>
      </c>
      <c r="E9" s="52">
        <f t="shared" si="0"/>
        <v>41580</v>
      </c>
      <c r="F9" s="52">
        <f t="shared" si="1"/>
        <v>83160</v>
      </c>
      <c r="G9" s="52">
        <f t="shared" si="2"/>
        <v>124740</v>
      </c>
      <c r="H9" s="53"/>
      <c r="I9" s="110"/>
    </row>
    <row r="10" spans="1:9" s="48" customFormat="1" ht="18.75" x14ac:dyDescent="0.3">
      <c r="A10" s="49">
        <v>3</v>
      </c>
      <c r="B10" s="50">
        <v>70352</v>
      </c>
      <c r="C10" s="51" t="s">
        <v>4</v>
      </c>
      <c r="D10" s="52">
        <v>462000</v>
      </c>
      <c r="E10" s="52">
        <f t="shared" si="0"/>
        <v>32340</v>
      </c>
      <c r="F10" s="52">
        <f t="shared" si="1"/>
        <v>64680</v>
      </c>
      <c r="G10" s="52">
        <f t="shared" si="2"/>
        <v>97020</v>
      </c>
      <c r="H10" s="53"/>
      <c r="I10" s="110"/>
    </row>
    <row r="11" spans="1:9" s="48" customFormat="1" ht="18.75" x14ac:dyDescent="0.3">
      <c r="A11" s="49"/>
      <c r="B11" s="54"/>
      <c r="C11" s="51"/>
      <c r="D11" s="52"/>
      <c r="E11" s="52"/>
      <c r="F11" s="52"/>
      <c r="G11" s="52"/>
      <c r="H11" s="53"/>
      <c r="I11" s="110"/>
    </row>
    <row r="12" spans="1:9" s="48" customFormat="1" ht="18.75" x14ac:dyDescent="0.3">
      <c r="A12" s="81"/>
      <c r="B12" s="54"/>
      <c r="C12" s="55"/>
      <c r="D12" s="56">
        <f>SUM(D8:D11)</f>
        <v>1518000</v>
      </c>
      <c r="E12" s="56">
        <f>SUM(E8:E11)</f>
        <v>106260</v>
      </c>
      <c r="F12" s="56">
        <f>SUM(F8:F11)</f>
        <v>212520</v>
      </c>
      <c r="G12" s="56">
        <f>SUM(G8:G11)</f>
        <v>318780</v>
      </c>
      <c r="H12" s="53"/>
      <c r="I12" s="110"/>
    </row>
    <row r="13" spans="1:9" s="48" customFormat="1" ht="18.75" x14ac:dyDescent="0.3"/>
    <row r="14" spans="1:9" s="48" customFormat="1" ht="18.75" x14ac:dyDescent="0.3">
      <c r="A14" s="1"/>
      <c r="B14" s="39"/>
      <c r="C14" s="57"/>
      <c r="D14" s="105"/>
      <c r="E14" s="105"/>
      <c r="F14" s="105"/>
      <c r="G14" s="105"/>
    </row>
    <row r="15" spans="1:9" s="48" customFormat="1" ht="18.75" x14ac:dyDescent="0.3">
      <c r="A15" s="1"/>
      <c r="B15" s="39"/>
      <c r="C15" s="7"/>
      <c r="D15" s="4"/>
      <c r="E15" s="4"/>
      <c r="F15" s="4"/>
      <c r="G15" s="4"/>
      <c r="H15"/>
    </row>
    <row r="16" spans="1:9" s="48" customFormat="1" ht="18.75" x14ac:dyDescent="0.3">
      <c r="A16" s="1"/>
      <c r="B16" s="39"/>
      <c r="C16" s="7"/>
      <c r="D16" s="4"/>
      <c r="E16" s="4"/>
      <c r="F16" s="4"/>
      <c r="G16" s="4"/>
      <c r="H16"/>
    </row>
    <row r="17" spans="1:10" s="48" customFormat="1" ht="18.75" x14ac:dyDescent="0.3">
      <c r="A17" s="1"/>
      <c r="B17" s="39"/>
      <c r="C17" s="7"/>
      <c r="D17" s="4"/>
      <c r="E17" s="4"/>
      <c r="F17" s="4"/>
      <c r="G17" s="4"/>
      <c r="H17"/>
    </row>
    <row r="18" spans="1:10" s="48" customFormat="1" ht="18.75" x14ac:dyDescent="0.3">
      <c r="A18" s="1"/>
      <c r="B18" s="39"/>
      <c r="C18" s="7"/>
      <c r="D18" s="4"/>
      <c r="E18" s="4"/>
      <c r="F18" s="4"/>
      <c r="G18" s="4"/>
      <c r="H18"/>
    </row>
    <row r="19" spans="1:10" s="48" customFormat="1" ht="18.75" x14ac:dyDescent="0.3">
      <c r="A19" s="1"/>
      <c r="B19" s="39"/>
      <c r="C19" s="7"/>
      <c r="D19" s="4"/>
      <c r="E19" s="4"/>
      <c r="F19" s="4"/>
      <c r="G19" s="4"/>
      <c r="H19"/>
    </row>
    <row r="20" spans="1:10" s="48" customFormat="1" ht="18.75" x14ac:dyDescent="0.3">
      <c r="A20" s="1"/>
      <c r="B20" s="39"/>
      <c r="C20" s="7"/>
      <c r="D20" s="4"/>
      <c r="E20" s="4"/>
      <c r="F20" s="4"/>
      <c r="G20" s="4"/>
      <c r="H20"/>
    </row>
    <row r="21" spans="1:10" s="48" customFormat="1" ht="18" customHeight="1" x14ac:dyDescent="0.3">
      <c r="A21" s="1"/>
      <c r="B21" s="39"/>
      <c r="C21" s="7"/>
      <c r="D21" s="4"/>
      <c r="E21" s="4"/>
      <c r="F21" s="4"/>
      <c r="G21" s="4"/>
      <c r="H21"/>
    </row>
    <row r="22" spans="1:10" s="48" customFormat="1" ht="18.75" x14ac:dyDescent="0.3">
      <c r="A22" s="1"/>
      <c r="B22" s="39"/>
      <c r="C22" s="7"/>
      <c r="D22" s="4"/>
      <c r="E22" s="4"/>
      <c r="F22" s="4"/>
      <c r="G22" s="4"/>
      <c r="H22"/>
    </row>
    <row r="23" spans="1:10" s="48" customFormat="1" ht="18.75" x14ac:dyDescent="0.3">
      <c r="A23" s="1"/>
      <c r="B23" s="39"/>
      <c r="C23" s="7"/>
      <c r="D23" s="4"/>
      <c r="E23" s="4"/>
      <c r="F23" s="4"/>
      <c r="G23" s="4"/>
      <c r="H23"/>
    </row>
    <row r="24" spans="1:10" ht="18.75" x14ac:dyDescent="0.3">
      <c r="I24" s="48"/>
      <c r="J24" s="48"/>
    </row>
    <row r="25" spans="1:10" ht="18.75" x14ac:dyDescent="0.3">
      <c r="I25" s="48"/>
      <c r="J25" s="48"/>
    </row>
    <row r="26" spans="1:10" ht="18.75" x14ac:dyDescent="0.3">
      <c r="J26" s="48"/>
    </row>
    <row r="27" spans="1:10" ht="18.75" x14ac:dyDescent="0.3">
      <c r="J27" s="48"/>
    </row>
  </sheetData>
  <mergeCells count="3">
    <mergeCell ref="A1:H1"/>
    <mergeCell ref="A2:H2"/>
    <mergeCell ref="E4:F4"/>
  </mergeCells>
  <pageMargins left="0.47244094488188981" right="0.31496062992125984" top="0.39370078740157483" bottom="0.31496062992125984" header="0.15748031496062992" footer="0.15748031496062992"/>
  <pageSetup paperSize="9" scale="71" fitToHeight="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9"/>
  <sheetViews>
    <sheetView zoomScaleNormal="100" workbookViewId="0">
      <selection activeCell="A7" sqref="A7"/>
    </sheetView>
  </sheetViews>
  <sheetFormatPr defaultRowHeight="15.75" x14ac:dyDescent="0.25"/>
  <cols>
    <col min="1" max="1" width="5.85546875" style="84" bestFit="1" customWidth="1"/>
    <col min="2" max="2" width="13.7109375" style="28" bestFit="1" customWidth="1"/>
    <col min="3" max="3" width="31.28515625" style="24" bestFit="1" customWidth="1"/>
    <col min="4" max="4" width="12.7109375" style="23" bestFit="1" customWidth="1"/>
    <col min="5" max="5" width="13.85546875" style="63" customWidth="1"/>
    <col min="6" max="7" width="11.5703125" style="63" bestFit="1" customWidth="1"/>
    <col min="8" max="8" width="3.7109375" customWidth="1"/>
    <col min="10" max="10" width="12" bestFit="1" customWidth="1"/>
  </cols>
  <sheetData>
    <row r="1" spans="1:7" ht="18" customHeight="1" x14ac:dyDescent="0.35">
      <c r="A1" s="130" t="s">
        <v>55</v>
      </c>
      <c r="B1" s="114"/>
      <c r="C1" s="114"/>
      <c r="D1" s="114"/>
      <c r="E1" s="114"/>
      <c r="F1" s="114"/>
      <c r="G1" s="114"/>
    </row>
    <row r="2" spans="1:7" ht="15.75" customHeight="1" x14ac:dyDescent="0.3">
      <c r="A2" s="131">
        <v>45992</v>
      </c>
      <c r="B2" s="131"/>
      <c r="C2" s="131"/>
      <c r="D2" s="131"/>
      <c r="E2" s="131"/>
      <c r="F2" s="131"/>
      <c r="G2" s="131"/>
    </row>
    <row r="3" spans="1:7" ht="15" customHeight="1" x14ac:dyDescent="0.25">
      <c r="A3" s="132" t="s">
        <v>60</v>
      </c>
      <c r="B3" s="133" t="s">
        <v>1</v>
      </c>
      <c r="C3" s="133" t="s">
        <v>5</v>
      </c>
      <c r="D3" s="134" t="s">
        <v>21</v>
      </c>
      <c r="E3" s="129" t="s">
        <v>57</v>
      </c>
      <c r="F3" s="129" t="s">
        <v>58</v>
      </c>
      <c r="G3" s="129" t="s">
        <v>33</v>
      </c>
    </row>
    <row r="4" spans="1:7" ht="15" customHeight="1" x14ac:dyDescent="0.25">
      <c r="A4" s="132"/>
      <c r="B4" s="133"/>
      <c r="C4" s="133"/>
      <c r="D4" s="134"/>
      <c r="E4" s="129"/>
      <c r="F4" s="129"/>
      <c r="G4" s="129"/>
    </row>
    <row r="5" spans="1:7" x14ac:dyDescent="0.25">
      <c r="A5" s="83">
        <v>1</v>
      </c>
      <c r="B5" s="58">
        <v>20150701009</v>
      </c>
      <c r="C5" s="111" t="s">
        <v>2</v>
      </c>
      <c r="D5" s="3">
        <v>462000</v>
      </c>
      <c r="E5" s="68">
        <f t="shared" ref="E5:E7" si="0">D5*3.5%</f>
        <v>16170.000000000002</v>
      </c>
      <c r="F5" s="68">
        <f t="shared" ref="F5:F7" si="1">D5*3.5%</f>
        <v>16170.000000000002</v>
      </c>
      <c r="G5" s="68">
        <f t="shared" ref="G5:G7" si="2">E5+F5</f>
        <v>32340.000000000004</v>
      </c>
    </row>
    <row r="6" spans="1:7" x14ac:dyDescent="0.25">
      <c r="A6" s="83">
        <v>2</v>
      </c>
      <c r="B6" s="58">
        <v>20150701014</v>
      </c>
      <c r="C6" s="111" t="s">
        <v>3</v>
      </c>
      <c r="D6" s="3">
        <v>594000</v>
      </c>
      <c r="E6" s="68">
        <f t="shared" si="0"/>
        <v>20790.000000000004</v>
      </c>
      <c r="F6" s="68">
        <f t="shared" si="1"/>
        <v>20790.000000000004</v>
      </c>
      <c r="G6" s="68">
        <f t="shared" si="2"/>
        <v>41580.000000000007</v>
      </c>
    </row>
    <row r="7" spans="1:7" x14ac:dyDescent="0.25">
      <c r="A7" s="83">
        <v>3</v>
      </c>
      <c r="B7" s="58">
        <v>20150702029</v>
      </c>
      <c r="C7" s="111" t="s">
        <v>4</v>
      </c>
      <c r="D7" s="3">
        <v>462000</v>
      </c>
      <c r="E7" s="68">
        <f t="shared" si="0"/>
        <v>16170.000000000002</v>
      </c>
      <c r="F7" s="68">
        <f t="shared" si="1"/>
        <v>16170.000000000002</v>
      </c>
      <c r="G7" s="68">
        <f t="shared" si="2"/>
        <v>32340.000000000004</v>
      </c>
    </row>
    <row r="8" spans="1:7" x14ac:dyDescent="0.25">
      <c r="A8" s="83"/>
      <c r="B8" s="66"/>
      <c r="C8" s="82"/>
      <c r="D8" s="64"/>
      <c r="E8" s="68"/>
      <c r="F8" s="68"/>
      <c r="G8" s="68"/>
    </row>
    <row r="9" spans="1:7" x14ac:dyDescent="0.25">
      <c r="A9" s="83"/>
      <c r="B9" s="65"/>
      <c r="C9" s="67"/>
      <c r="D9" s="69">
        <f>SUM(D5:D8)</f>
        <v>1518000</v>
      </c>
      <c r="E9" s="69">
        <f>SUM(E5:E8)</f>
        <v>53130.000000000007</v>
      </c>
      <c r="F9" s="69">
        <f>SUM(F5:F8)</f>
        <v>53130.000000000007</v>
      </c>
      <c r="G9" s="69">
        <f>SUM(G5:G8)</f>
        <v>106260.00000000001</v>
      </c>
    </row>
  </sheetData>
  <sortState xmlns:xlrd2="http://schemas.microsoft.com/office/spreadsheetml/2017/richdata2" ref="B5:G7">
    <sortCondition ref="B5:B7"/>
  </sortState>
  <mergeCells count="9">
    <mergeCell ref="F3:F4"/>
    <mergeCell ref="G3:G4"/>
    <mergeCell ref="A1:G1"/>
    <mergeCell ref="A2:G2"/>
    <mergeCell ref="A3:A4"/>
    <mergeCell ref="B3:B4"/>
    <mergeCell ref="C3:C4"/>
    <mergeCell ref="D3:D4"/>
    <mergeCell ref="E3:E4"/>
  </mergeCells>
  <pageMargins left="0.5" right="0.23622047244094491" top="0.39370078740157483" bottom="0.39370078740157483" header="0.31496062992125984" footer="0.31496062992125984"/>
  <pageSetup paperSize="9"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SALARY</vt:lpstr>
      <vt:lpstr>PAYE</vt:lpstr>
      <vt:lpstr>ZSSF</vt:lpstr>
      <vt:lpstr>ZHSF</vt:lpstr>
      <vt:lpstr>PAYE!_FilterDatabase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Praveen Nayak</cp:lastModifiedBy>
  <cp:lastPrinted>2024-07-26T07:35:47Z</cp:lastPrinted>
  <dcterms:created xsi:type="dcterms:W3CDTF">2016-01-04T11:43:08Z</dcterms:created>
  <dcterms:modified xsi:type="dcterms:W3CDTF">2025-10-17T14:46:06Z</dcterms:modified>
</cp:coreProperties>
</file>